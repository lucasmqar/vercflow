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Y:\PROJETOS\Identificação - Verc\Protocolos\"/>
    </mc:Choice>
  </mc:AlternateContent>
  <xr:revisionPtr revIDLastSave="0" documentId="13_ncr:1_{CA2806D1-47D1-4764-8654-537E123E94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dido" sheetId="6" r:id="rId1"/>
    <sheet name="INFO" sheetId="3" r:id="rId2"/>
    <sheet name="Concreto Estacas" sheetId="4" r:id="rId3"/>
  </sheets>
  <definedNames>
    <definedName name="_xlnm.Print_Area" localSheetId="0">Pedido!$B$2:$P$62</definedName>
    <definedName name="CA.50">INFO!$E$5:$E$13</definedName>
    <definedName name="CA.60">INFO!$E$3:$E$4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H10" i="6" s="1"/>
  <c r="G67" i="6"/>
  <c r="I67" i="6" s="1"/>
  <c r="E67" i="6"/>
  <c r="H67" i="6" s="1"/>
  <c r="G66" i="6"/>
  <c r="I66" i="6" s="1"/>
  <c r="E66" i="6"/>
  <c r="H66" i="6" s="1"/>
  <c r="G65" i="6"/>
  <c r="I65" i="6" s="1"/>
  <c r="E65" i="6"/>
  <c r="H65" i="6" s="1"/>
  <c r="G64" i="6"/>
  <c r="I64" i="6" s="1"/>
  <c r="E64" i="6"/>
  <c r="H64" i="6" s="1"/>
  <c r="G63" i="6"/>
  <c r="I63" i="6" s="1"/>
  <c r="E63" i="6"/>
  <c r="H63" i="6" s="1"/>
  <c r="G62" i="6"/>
  <c r="I62" i="6" s="1"/>
  <c r="E62" i="6"/>
  <c r="H62" i="6" s="1"/>
  <c r="G61" i="6"/>
  <c r="I61" i="6" s="1"/>
  <c r="E61" i="6"/>
  <c r="H61" i="6" s="1"/>
  <c r="G60" i="6"/>
  <c r="I60" i="6" s="1"/>
  <c r="E60" i="6"/>
  <c r="H60" i="6" s="1"/>
  <c r="G59" i="6"/>
  <c r="I59" i="6" s="1"/>
  <c r="E59" i="6"/>
  <c r="H59" i="6" s="1"/>
  <c r="G58" i="6"/>
  <c r="I58" i="6" s="1"/>
  <c r="E58" i="6"/>
  <c r="H58" i="6" s="1"/>
  <c r="G57" i="6"/>
  <c r="I57" i="6" s="1"/>
  <c r="E57" i="6"/>
  <c r="H57" i="6" s="1"/>
  <c r="G56" i="6"/>
  <c r="I56" i="6" s="1"/>
  <c r="E56" i="6"/>
  <c r="H56" i="6" s="1"/>
  <c r="G55" i="6"/>
  <c r="I55" i="6" s="1"/>
  <c r="E55" i="6"/>
  <c r="H55" i="6" s="1"/>
  <c r="G54" i="6"/>
  <c r="I54" i="6" s="1"/>
  <c r="E54" i="6"/>
  <c r="H54" i="6" s="1"/>
  <c r="G53" i="6"/>
  <c r="I53" i="6" s="1"/>
  <c r="E53" i="6"/>
  <c r="H53" i="6" s="1"/>
  <c r="G52" i="6"/>
  <c r="I52" i="6" s="1"/>
  <c r="E52" i="6"/>
  <c r="H52" i="6" s="1"/>
  <c r="G51" i="6"/>
  <c r="I51" i="6" s="1"/>
  <c r="E51" i="6"/>
  <c r="H51" i="6" s="1"/>
  <c r="G50" i="6"/>
  <c r="I50" i="6" s="1"/>
  <c r="E50" i="6"/>
  <c r="H50" i="6" s="1"/>
  <c r="G49" i="6"/>
  <c r="I49" i="6" s="1"/>
  <c r="E49" i="6"/>
  <c r="H49" i="6" s="1"/>
  <c r="G48" i="6"/>
  <c r="I48" i="6" s="1"/>
  <c r="E48" i="6"/>
  <c r="H48" i="6" s="1"/>
  <c r="G47" i="6"/>
  <c r="I47" i="6" s="1"/>
  <c r="E47" i="6"/>
  <c r="H47" i="6" s="1"/>
  <c r="G46" i="6"/>
  <c r="I46" i="6" s="1"/>
  <c r="E46" i="6"/>
  <c r="H46" i="6" s="1"/>
  <c r="G45" i="6"/>
  <c r="I45" i="6" s="1"/>
  <c r="E45" i="6"/>
  <c r="H45" i="6" s="1"/>
  <c r="G44" i="6"/>
  <c r="I44" i="6" s="1"/>
  <c r="E44" i="6"/>
  <c r="H44" i="6" s="1"/>
  <c r="G43" i="6"/>
  <c r="I43" i="6" s="1"/>
  <c r="E43" i="6"/>
  <c r="H43" i="6" s="1"/>
  <c r="G42" i="6"/>
  <c r="I42" i="6" s="1"/>
  <c r="E42" i="6"/>
  <c r="H42" i="6" s="1"/>
  <c r="G41" i="6"/>
  <c r="I41" i="6" s="1"/>
  <c r="E41" i="6"/>
  <c r="H41" i="6" s="1"/>
  <c r="G40" i="6"/>
  <c r="I40" i="6" s="1"/>
  <c r="E40" i="6"/>
  <c r="H40" i="6" s="1"/>
  <c r="G39" i="6"/>
  <c r="I39" i="6" s="1"/>
  <c r="E39" i="6"/>
  <c r="H39" i="6" s="1"/>
  <c r="G38" i="6"/>
  <c r="I38" i="6" s="1"/>
  <c r="E38" i="6"/>
  <c r="H38" i="6" s="1"/>
  <c r="G37" i="6"/>
  <c r="I37" i="6" s="1"/>
  <c r="E37" i="6"/>
  <c r="H37" i="6" s="1"/>
  <c r="G36" i="6"/>
  <c r="I36" i="6" s="1"/>
  <c r="E36" i="6"/>
  <c r="H36" i="6" s="1"/>
  <c r="G35" i="6"/>
  <c r="I35" i="6" s="1"/>
  <c r="E35" i="6"/>
  <c r="H35" i="6" s="1"/>
  <c r="G34" i="6"/>
  <c r="I34" i="6" s="1"/>
  <c r="E34" i="6"/>
  <c r="H34" i="6" s="1"/>
  <c r="G33" i="6"/>
  <c r="I33" i="6" s="1"/>
  <c r="E33" i="6"/>
  <c r="H33" i="6" s="1"/>
  <c r="G32" i="6"/>
  <c r="I32" i="6" s="1"/>
  <c r="E32" i="6"/>
  <c r="H32" i="6" s="1"/>
  <c r="G31" i="6"/>
  <c r="I31" i="6" s="1"/>
  <c r="E31" i="6"/>
  <c r="H31" i="6" s="1"/>
  <c r="G30" i="6"/>
  <c r="I30" i="6" s="1"/>
  <c r="E30" i="6"/>
  <c r="H30" i="6" s="1"/>
  <c r="G29" i="6"/>
  <c r="I29" i="6" s="1"/>
  <c r="E29" i="6"/>
  <c r="H29" i="6" s="1"/>
  <c r="G28" i="6"/>
  <c r="I28" i="6" s="1"/>
  <c r="E28" i="6"/>
  <c r="H28" i="6" s="1"/>
  <c r="G27" i="6"/>
  <c r="I27" i="6" s="1"/>
  <c r="E27" i="6"/>
  <c r="H27" i="6" s="1"/>
  <c r="G26" i="6"/>
  <c r="I26" i="6" s="1"/>
  <c r="E26" i="6"/>
  <c r="H26" i="6" s="1"/>
  <c r="G25" i="6"/>
  <c r="I25" i="6" s="1"/>
  <c r="E25" i="6"/>
  <c r="H25" i="6" s="1"/>
  <c r="G24" i="6"/>
  <c r="I24" i="6" s="1"/>
  <c r="E24" i="6"/>
  <c r="H24" i="6" s="1"/>
  <c r="G23" i="6"/>
  <c r="I23" i="6" s="1"/>
  <c r="E23" i="6"/>
  <c r="H23" i="6" s="1"/>
  <c r="G22" i="6"/>
  <c r="I22" i="6" s="1"/>
  <c r="E22" i="6"/>
  <c r="H22" i="6" s="1"/>
  <c r="G21" i="6"/>
  <c r="I21" i="6" s="1"/>
  <c r="E21" i="6"/>
  <c r="H21" i="6" s="1"/>
  <c r="G20" i="6"/>
  <c r="I20" i="6" s="1"/>
  <c r="E20" i="6"/>
  <c r="H20" i="6" s="1"/>
  <c r="G19" i="6"/>
  <c r="I19" i="6" s="1"/>
  <c r="E19" i="6"/>
  <c r="H19" i="6" s="1"/>
  <c r="G18" i="6"/>
  <c r="I18" i="6" s="1"/>
  <c r="E18" i="6"/>
  <c r="H18" i="6" s="1"/>
  <c r="G17" i="6"/>
  <c r="I17" i="6" s="1"/>
  <c r="E17" i="6"/>
  <c r="H17" i="6" s="1"/>
  <c r="G16" i="6"/>
  <c r="I16" i="6" s="1"/>
  <c r="E16" i="6"/>
  <c r="H16" i="6" s="1"/>
  <c r="P15" i="6"/>
  <c r="O15" i="6"/>
  <c r="N15" i="6"/>
  <c r="I15" i="6"/>
  <c r="G15" i="6"/>
  <c r="E15" i="6"/>
  <c r="H15" i="6" s="1"/>
  <c r="P14" i="6"/>
  <c r="O14" i="6"/>
  <c r="N14" i="6"/>
  <c r="G14" i="6"/>
  <c r="I14" i="6" s="1"/>
  <c r="E14" i="6"/>
  <c r="H14" i="6" s="1"/>
  <c r="P13" i="6"/>
  <c r="G13" i="6"/>
  <c r="I13" i="6" s="1"/>
  <c r="E13" i="6"/>
  <c r="H13" i="6" s="1"/>
  <c r="O13" i="6" s="1"/>
  <c r="G12" i="6"/>
  <c r="I12" i="6" s="1"/>
  <c r="E12" i="6"/>
  <c r="H12" i="6" s="1"/>
  <c r="G11" i="6"/>
  <c r="I11" i="6" s="1"/>
  <c r="E11" i="6"/>
  <c r="H11" i="6" s="1"/>
  <c r="G10" i="6"/>
  <c r="G9" i="6"/>
  <c r="I9" i="6" s="1"/>
  <c r="E9" i="6"/>
  <c r="H9" i="6" s="1"/>
  <c r="G8" i="6"/>
  <c r="E8" i="6"/>
  <c r="H8" i="6" s="1"/>
  <c r="E7" i="4"/>
  <c r="D7" i="4"/>
  <c r="C7" i="4"/>
  <c r="N13" i="6" l="1"/>
  <c r="P12" i="6"/>
  <c r="N10" i="6"/>
  <c r="I10" i="6"/>
  <c r="P10" i="6"/>
  <c r="N11" i="6"/>
  <c r="N12" i="6"/>
  <c r="N16" i="6"/>
  <c r="I8" i="6"/>
  <c r="P16" i="6" s="1"/>
  <c r="N9" i="6"/>
  <c r="N8" i="6"/>
  <c r="O9" i="6"/>
  <c r="O12" i="6"/>
  <c r="O10" i="6"/>
  <c r="O8" i="6"/>
  <c r="P11" i="6"/>
  <c r="O16" i="6"/>
  <c r="O11" i="6"/>
  <c r="P8" i="6"/>
  <c r="P9" i="6"/>
  <c r="C10" i="4"/>
  <c r="O18" i="6" l="1"/>
</calcChain>
</file>

<file path=xl/sharedStrings.xml><?xml version="1.0" encoding="utf-8"?>
<sst xmlns="http://schemas.openxmlformats.org/spreadsheetml/2006/main" count="62" uniqueCount="39">
  <si>
    <t>AÇO</t>
  </si>
  <si>
    <t>DIAMETRO (mm)</t>
  </si>
  <si>
    <t>MASSA (Kg/m)</t>
  </si>
  <si>
    <t>COMP. TOTAL (m)</t>
  </si>
  <si>
    <t>PESO + 10% (kg)</t>
  </si>
  <si>
    <t>COMP. TOTAL +10% (m)</t>
  </si>
  <si>
    <t>Nº DE BARRAS</t>
  </si>
  <si>
    <t>Aço</t>
  </si>
  <si>
    <t>CA50</t>
  </si>
  <si>
    <t>CA60</t>
  </si>
  <si>
    <t>Diam.</t>
  </si>
  <si>
    <t>Kg/m</t>
  </si>
  <si>
    <t>CA.50</t>
  </si>
  <si>
    <t>CA.60</t>
  </si>
  <si>
    <t>Elemento</t>
  </si>
  <si>
    <t>CA 50</t>
  </si>
  <si>
    <t>CA 60</t>
  </si>
  <si>
    <t>PESO TOTAL</t>
  </si>
  <si>
    <t>kg</t>
  </si>
  <si>
    <t>1/4"</t>
  </si>
  <si>
    <t>5/16"</t>
  </si>
  <si>
    <t>3/8"</t>
  </si>
  <si>
    <t>1/2"</t>
  </si>
  <si>
    <t>5/8"</t>
  </si>
  <si>
    <t>3/4"</t>
  </si>
  <si>
    <t>3/16"</t>
  </si>
  <si>
    <t>1"</t>
  </si>
  <si>
    <t>PESO TOTAL (kg)</t>
  </si>
  <si>
    <t>RESUMO POR ETAPA</t>
  </si>
  <si>
    <t>Cálculo de Concreto para estacas</t>
  </si>
  <si>
    <t>Diâmetro (m):</t>
  </si>
  <si>
    <t>Profundidade (m):</t>
  </si>
  <si>
    <t>Quantidade (un):</t>
  </si>
  <si>
    <t>Volume Total (m³):</t>
  </si>
  <si>
    <t>Volume TOTAL (m³):</t>
  </si>
  <si>
    <t xml:space="preserve"> </t>
  </si>
  <si>
    <t>OBRA:</t>
  </si>
  <si>
    <t>AÇO VARANDA GOURMET</t>
  </si>
  <si>
    <t>QUANTITATIVO DE AÇO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</si>
</sst>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1">
    <xf numFmtId="0" fontId="0" fillId="0" borderId="0" xfId="0"/>
    <xf numFmtId="0" fontId="0" fillId="0" borderId="7" xfId="0" applyBorder="1"/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5" fontId="0" fillId="2" borderId="7" xfId="0" applyNumberFormat="1" applyFill="1" applyBorder="1" applyAlignment="1">
      <alignment horizontal="right" indent="1"/>
    </xf>
    <xf numFmtId="0" fontId="0" fillId="0" borderId="11" xfId="0" applyBorder="1" applyAlignment="1">
      <alignment horizontal="center"/>
    </xf>
    <xf numFmtId="2" fontId="0" fillId="2" borderId="7" xfId="0" applyNumberFormat="1" applyFill="1" applyBorder="1" applyAlignment="1">
      <alignment horizontal="right" indent="1"/>
    </xf>
    <xf numFmtId="0" fontId="0" fillId="2" borderId="7" xfId="0" applyFill="1" applyBorder="1" applyAlignment="1">
      <alignment horizontal="right" indent="1"/>
    </xf>
    <xf numFmtId="165" fontId="0" fillId="0" borderId="0" xfId="0" applyNumberFormat="1" applyAlignment="1">
      <alignment horizontal="right" indent="1"/>
    </xf>
    <xf numFmtId="2" fontId="0" fillId="0" borderId="0" xfId="0" applyNumberFormat="1" applyAlignment="1">
      <alignment horizontal="right" indent="1"/>
    </xf>
    <xf numFmtId="2" fontId="0" fillId="0" borderId="7" xfId="0" applyNumberFormat="1" applyBorder="1" applyAlignment="1">
      <alignment horizontal="right" indent="1"/>
    </xf>
    <xf numFmtId="0" fontId="0" fillId="0" borderId="9" xfId="0" applyBorder="1" applyAlignment="1">
      <alignment horizontal="center"/>
    </xf>
    <xf numFmtId="43" fontId="0" fillId="0" borderId="7" xfId="1" applyFont="1" applyBorder="1" applyProtection="1"/>
    <xf numFmtId="43" fontId="0" fillId="0" borderId="5" xfId="1" applyFont="1" applyBorder="1" applyProtection="1"/>
    <xf numFmtId="43" fontId="0" fillId="0" borderId="0" xfId="1" applyFont="1" applyProtection="1"/>
    <xf numFmtId="43" fontId="1" fillId="0" borderId="0" xfId="1" applyFont="1" applyProtection="1"/>
    <xf numFmtId="43" fontId="1" fillId="0" borderId="0" xfId="1" applyFont="1" applyFill="1" applyBorder="1" applyProtection="1"/>
    <xf numFmtId="166" fontId="0" fillId="0" borderId="14" xfId="1" applyNumberFormat="1" applyFont="1" applyBorder="1" applyProtection="1"/>
    <xf numFmtId="166" fontId="0" fillId="0" borderId="6" xfId="1" applyNumberFormat="1" applyFont="1" applyBorder="1" applyProtection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right" indent="1"/>
    </xf>
    <xf numFmtId="0" fontId="0" fillId="0" borderId="5" xfId="0" applyBorder="1" applyAlignment="1">
      <alignment horizontal="right" indent="1"/>
    </xf>
    <xf numFmtId="2" fontId="0" fillId="0" borderId="0" xfId="0" applyNumberFormat="1"/>
    <xf numFmtId="0" fontId="0" fillId="3" borderId="1" xfId="0" applyFill="1" applyBorder="1"/>
    <xf numFmtId="2" fontId="0" fillId="2" borderId="2" xfId="0" applyNumberFormat="1" applyFill="1" applyBorder="1"/>
    <xf numFmtId="2" fontId="0" fillId="2" borderId="3" xfId="0" applyNumberFormat="1" applyFill="1" applyBorder="1"/>
    <xf numFmtId="0" fontId="0" fillId="3" borderId="9" xfId="0" applyFill="1" applyBorder="1"/>
    <xf numFmtId="2" fontId="0" fillId="0" borderId="7" xfId="0" applyNumberFormat="1" applyBorder="1"/>
    <xf numFmtId="2" fontId="0" fillId="0" borderId="14" xfId="0" applyNumberFormat="1" applyBorder="1"/>
    <xf numFmtId="0" fontId="0" fillId="3" borderId="4" xfId="0" applyFill="1" applyBorder="1"/>
    <xf numFmtId="2" fontId="0" fillId="2" borderId="5" xfId="0" applyNumberFormat="1" applyFill="1" applyBorder="1"/>
    <xf numFmtId="2" fontId="0" fillId="2" borderId="6" xfId="0" applyNumberFormat="1" applyFill="1" applyBorder="1"/>
    <xf numFmtId="0" fontId="0" fillId="3" borderId="17" xfId="0" applyFill="1" applyBorder="1"/>
    <xf numFmtId="2" fontId="0" fillId="2" borderId="18" xfId="0" applyNumberFormat="1" applyFill="1" applyBorder="1"/>
    <xf numFmtId="166" fontId="0" fillId="0" borderId="10" xfId="1" applyNumberFormat="1" applyFont="1" applyBorder="1" applyProtection="1"/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right" indent="1"/>
    </xf>
    <xf numFmtId="43" fontId="0" fillId="0" borderId="8" xfId="1" applyFont="1" applyBorder="1" applyProtection="1"/>
    <xf numFmtId="0" fontId="0" fillId="0" borderId="0" xfId="0" applyAlignment="1">
      <alignment horizont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0" fillId="2" borderId="8" xfId="0" applyNumberFormat="1" applyFill="1" applyBorder="1" applyAlignment="1">
      <alignment horizontal="right" indent="1"/>
    </xf>
    <xf numFmtId="2" fontId="0" fillId="0" borderId="8" xfId="0" applyNumberFormat="1" applyBorder="1" applyAlignment="1">
      <alignment horizontal="right" indent="1"/>
    </xf>
    <xf numFmtId="2" fontId="0" fillId="2" borderId="8" xfId="0" applyNumberFormat="1" applyFill="1" applyBorder="1" applyAlignment="1">
      <alignment horizontal="right" indent="1"/>
    </xf>
    <xf numFmtId="0" fontId="0" fillId="2" borderId="8" xfId="0" applyFill="1" applyBorder="1" applyAlignment="1">
      <alignment horizontal="right" inden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1">
    <dxf>
      <font>
        <color theme="0" tint="-0.14996795556505021"/>
      </font>
    </dxf>
  </dxfs>
  <tableStyles count="0" defaultTableStyle="TableStyleMedium2" defaultPivotStyle="PivotStyleLight16"/>
  <colors>
    <mruColors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8086-2DA8-40DF-A92D-A4DEF2C62584}">
  <dimension ref="A2:P67"/>
  <sheetViews>
    <sheetView showGridLines="0" tabSelected="1" zoomScaleNormal="100" zoomScaleSheetLayoutView="85" workbookViewId="0">
      <selection activeCell="U17" sqref="U17"/>
    </sheetView>
  </sheetViews>
  <sheetFormatPr defaultRowHeight="15" x14ac:dyDescent="0.25"/>
  <cols>
    <col min="2" max="2" width="23.85546875" style="38" customWidth="1"/>
    <col min="3" max="4" width="11.5703125" customWidth="1"/>
    <col min="5" max="5" width="11.5703125" style="8" customWidth="1"/>
    <col min="6" max="7" width="11.5703125" style="9" customWidth="1"/>
    <col min="8" max="9" width="11.5703125" customWidth="1"/>
    <col min="10" max="10" width="11.5703125" style="22" customWidth="1"/>
    <col min="11" max="11" width="2.140625" customWidth="1"/>
    <col min="13" max="13" width="11.5703125" customWidth="1"/>
    <col min="14" max="14" width="13" customWidth="1"/>
    <col min="15" max="15" width="12" customWidth="1"/>
    <col min="16" max="16" width="9.28515625" customWidth="1"/>
  </cols>
  <sheetData>
    <row r="2" spans="1:16" ht="18.75" customHeight="1" x14ac:dyDescent="0.3">
      <c r="B2" s="49" t="s">
        <v>38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x14ac:dyDescent="0.25">
      <c r="B3" s="50" t="s">
        <v>36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</row>
    <row r="4" spans="1:16" x14ac:dyDescent="0.25"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</row>
    <row r="5" spans="1:16" ht="15.75" thickBot="1" x14ac:dyDescent="0.3">
      <c r="B5" s="52" t="s">
        <v>28</v>
      </c>
      <c r="C5" s="52"/>
      <c r="D5" s="52"/>
      <c r="E5" s="52"/>
      <c r="F5" s="52"/>
      <c r="G5" s="52"/>
      <c r="H5" s="52"/>
      <c r="I5" s="52"/>
      <c r="J5" s="52"/>
      <c r="L5" s="52" t="s">
        <v>37</v>
      </c>
      <c r="M5" s="52"/>
      <c r="N5" s="52"/>
      <c r="O5" s="52"/>
      <c r="P5" s="52"/>
    </row>
    <row r="6" spans="1:16" ht="15" customHeight="1" x14ac:dyDescent="0.25">
      <c r="B6" s="53" t="s">
        <v>14</v>
      </c>
      <c r="C6" s="54" t="s">
        <v>0</v>
      </c>
      <c r="D6" s="54" t="s">
        <v>1</v>
      </c>
      <c r="E6" s="55" t="s">
        <v>2</v>
      </c>
      <c r="F6" s="56" t="s">
        <v>3</v>
      </c>
      <c r="G6" s="56" t="s">
        <v>5</v>
      </c>
      <c r="H6" s="54" t="s">
        <v>4</v>
      </c>
      <c r="I6" s="43" t="s">
        <v>6</v>
      </c>
      <c r="J6" s="44" t="s">
        <v>27</v>
      </c>
      <c r="L6" s="45" t="s">
        <v>0</v>
      </c>
      <c r="M6" s="47" t="s">
        <v>1</v>
      </c>
      <c r="N6" s="47" t="s">
        <v>5</v>
      </c>
      <c r="O6" s="47" t="s">
        <v>4</v>
      </c>
      <c r="P6" s="41" t="s">
        <v>6</v>
      </c>
    </row>
    <row r="7" spans="1:16" ht="15.75" customHeight="1" thickBot="1" x14ac:dyDescent="0.3">
      <c r="B7" s="65"/>
      <c r="C7" s="66"/>
      <c r="D7" s="66"/>
      <c r="E7" s="67"/>
      <c r="F7" s="68"/>
      <c r="G7" s="68"/>
      <c r="H7" s="66"/>
      <c r="I7" s="69"/>
      <c r="J7" s="70"/>
      <c r="L7" s="46"/>
      <c r="M7" s="48"/>
      <c r="N7" s="48"/>
      <c r="O7" s="48"/>
      <c r="P7" s="42"/>
    </row>
    <row r="8" spans="1:16" ht="15" customHeight="1" x14ac:dyDescent="0.25">
      <c r="B8" s="58"/>
      <c r="C8" s="59"/>
      <c r="D8" s="60"/>
      <c r="E8" s="61" t="str">
        <f ca="1">IFERROR(OFFSET(INFO!$E$2,      (MATCH(Pedido!D8,INFO!$E$3:$E$13,0)),1)," ")</f>
        <v xml:space="preserve"> </v>
      </c>
      <c r="F8" s="62"/>
      <c r="G8" s="63">
        <f t="shared" ref="G8:G67" si="0">F8*1.1</f>
        <v>0</v>
      </c>
      <c r="H8" s="64" t="str">
        <f t="shared" ref="H8:H67" ca="1" si="1">IFERROR(ROUNDUP((E8*F8)*1.1,2)," ")</f>
        <v xml:space="preserve"> </v>
      </c>
      <c r="I8" s="64">
        <f t="shared" ref="I8:I67" si="2">ROUNDUP(G8/12,0)</f>
        <v>0</v>
      </c>
      <c r="J8" s="63"/>
      <c r="L8" s="35" t="s">
        <v>15</v>
      </c>
      <c r="M8" s="36">
        <v>6.3</v>
      </c>
      <c r="N8" s="37">
        <f t="shared" ref="N8:N16" si="3">SUMIF($D$8:$D$67,M8,$G$8:$G$67)</f>
        <v>0</v>
      </c>
      <c r="O8" s="37">
        <f t="shared" ref="O8:O16" si="4">SUMIF($D$8:$D$67,M8,$H$8:$H$67)</f>
        <v>0</v>
      </c>
      <c r="P8" s="34">
        <f t="shared" ref="P8:P16" si="5">SUMIF($D$8:$D$67,M8,$I$8:$I$67)</f>
        <v>0</v>
      </c>
    </row>
    <row r="9" spans="1:16" x14ac:dyDescent="0.25">
      <c r="A9" t="s">
        <v>35</v>
      </c>
      <c r="B9" s="39"/>
      <c r="C9" s="2"/>
      <c r="D9" s="3"/>
      <c r="E9" s="4" t="str">
        <f ca="1">IFERROR(OFFSET(INFO!$E$2,      (MATCH(Pedido!D9,INFO!$E$3:$E$13,0)),1)," ")</f>
        <v xml:space="preserve"> </v>
      </c>
      <c r="F9" s="10"/>
      <c r="G9" s="6">
        <f t="shared" si="0"/>
        <v>0</v>
      </c>
      <c r="H9" s="7" t="str">
        <f t="shared" ca="1" si="1"/>
        <v xml:space="preserve"> </v>
      </c>
      <c r="I9" s="7">
        <f t="shared" si="2"/>
        <v>0</v>
      </c>
      <c r="J9" s="6"/>
      <c r="L9" s="11" t="s">
        <v>15</v>
      </c>
      <c r="M9" s="20">
        <v>8</v>
      </c>
      <c r="N9" s="12">
        <f t="shared" si="3"/>
        <v>0</v>
      </c>
      <c r="O9" s="12">
        <f t="shared" si="4"/>
        <v>0</v>
      </c>
      <c r="P9" s="17">
        <f t="shared" si="5"/>
        <v>0</v>
      </c>
    </row>
    <row r="10" spans="1:16" x14ac:dyDescent="0.25">
      <c r="B10" s="39"/>
      <c r="C10" s="2"/>
      <c r="D10" s="3"/>
      <c r="E10" s="4" t="str">
        <f ca="1">IFERROR(OFFSET(INFO!$E$2,      (MATCH(Pedido!D10,INFO!$E$3:$E$13,0)),1)," ")</f>
        <v xml:space="preserve"> </v>
      </c>
      <c r="F10" s="10"/>
      <c r="G10" s="6">
        <f t="shared" si="0"/>
        <v>0</v>
      </c>
      <c r="H10" s="7" t="str">
        <f t="shared" ca="1" si="1"/>
        <v xml:space="preserve"> </v>
      </c>
      <c r="I10" s="7">
        <f t="shared" si="2"/>
        <v>0</v>
      </c>
      <c r="J10" s="6"/>
      <c r="L10" s="11" t="s">
        <v>15</v>
      </c>
      <c r="M10" s="20">
        <v>10</v>
      </c>
      <c r="N10" s="12">
        <f t="shared" si="3"/>
        <v>0</v>
      </c>
      <c r="O10" s="12">
        <f t="shared" si="4"/>
        <v>0</v>
      </c>
      <c r="P10" s="17">
        <f t="shared" si="5"/>
        <v>0</v>
      </c>
    </row>
    <row r="11" spans="1:16" x14ac:dyDescent="0.25">
      <c r="B11" s="39"/>
      <c r="C11" s="2"/>
      <c r="D11" s="3"/>
      <c r="E11" s="4" t="str">
        <f ca="1">IFERROR(OFFSET(INFO!$E$2,      (MATCH(Pedido!D11,INFO!$E$3:$E$13,0)),1)," ")</f>
        <v xml:space="preserve"> </v>
      </c>
      <c r="F11" s="10"/>
      <c r="G11" s="6">
        <f t="shared" si="0"/>
        <v>0</v>
      </c>
      <c r="H11" s="7" t="str">
        <f t="shared" ca="1" si="1"/>
        <v xml:space="preserve"> </v>
      </c>
      <c r="I11" s="7">
        <f t="shared" si="2"/>
        <v>0</v>
      </c>
      <c r="J11" s="6"/>
      <c r="L11" s="11" t="s">
        <v>15</v>
      </c>
      <c r="M11" s="20">
        <v>12.5</v>
      </c>
      <c r="N11" s="12">
        <f t="shared" si="3"/>
        <v>0</v>
      </c>
      <c r="O11" s="12">
        <f t="shared" si="4"/>
        <v>0</v>
      </c>
      <c r="P11" s="17">
        <f t="shared" si="5"/>
        <v>0</v>
      </c>
    </row>
    <row r="12" spans="1:16" x14ac:dyDescent="0.25">
      <c r="B12" s="39"/>
      <c r="C12" s="2"/>
      <c r="D12" s="3"/>
      <c r="E12" s="4" t="str">
        <f ca="1">IFERROR(OFFSET(INFO!$E$2,      (MATCH(Pedido!D12,INFO!$E$3:$E$13,0)),1)," ")</f>
        <v xml:space="preserve"> </v>
      </c>
      <c r="F12" s="10"/>
      <c r="G12" s="6">
        <f t="shared" si="0"/>
        <v>0</v>
      </c>
      <c r="H12" s="7" t="str">
        <f t="shared" ca="1" si="1"/>
        <v xml:space="preserve"> </v>
      </c>
      <c r="I12" s="7">
        <f t="shared" si="2"/>
        <v>0</v>
      </c>
      <c r="J12" s="6"/>
      <c r="L12" s="11" t="s">
        <v>15</v>
      </c>
      <c r="M12" s="20">
        <v>16</v>
      </c>
      <c r="N12" s="12">
        <f t="shared" si="3"/>
        <v>0</v>
      </c>
      <c r="O12" s="12">
        <f t="shared" si="4"/>
        <v>0</v>
      </c>
      <c r="P12" s="17">
        <f t="shared" si="5"/>
        <v>0</v>
      </c>
    </row>
    <row r="13" spans="1:16" x14ac:dyDescent="0.25">
      <c r="B13" s="39"/>
      <c r="C13" s="2"/>
      <c r="D13" s="3"/>
      <c r="E13" s="4" t="str">
        <f ca="1">IFERROR(OFFSET(INFO!$E$2,      (MATCH(Pedido!D13,INFO!$E$3:$E$13,0)),1)," ")</f>
        <v xml:space="preserve"> </v>
      </c>
      <c r="F13" s="10"/>
      <c r="G13" s="6">
        <f t="shared" si="0"/>
        <v>0</v>
      </c>
      <c r="H13" s="7" t="str">
        <f t="shared" ca="1" si="1"/>
        <v xml:space="preserve"> </v>
      </c>
      <c r="I13" s="7">
        <f t="shared" si="2"/>
        <v>0</v>
      </c>
      <c r="J13" s="6"/>
      <c r="L13" s="11" t="s">
        <v>15</v>
      </c>
      <c r="M13" s="20">
        <v>20</v>
      </c>
      <c r="N13" s="12">
        <f t="shared" si="3"/>
        <v>0</v>
      </c>
      <c r="O13" s="12">
        <f t="shared" si="4"/>
        <v>0</v>
      </c>
      <c r="P13" s="17">
        <f t="shared" si="5"/>
        <v>0</v>
      </c>
    </row>
    <row r="14" spans="1:16" x14ac:dyDescent="0.25">
      <c r="B14" s="39"/>
      <c r="C14" s="2"/>
      <c r="D14" s="3"/>
      <c r="E14" s="4" t="str">
        <f ca="1">IFERROR(OFFSET(INFO!$E$2,      (MATCH(Pedido!D14,INFO!$E$3:$E$13,0)),1)," ")</f>
        <v xml:space="preserve"> </v>
      </c>
      <c r="F14" s="10"/>
      <c r="G14" s="6">
        <f t="shared" si="0"/>
        <v>0</v>
      </c>
      <c r="H14" s="7" t="str">
        <f t="shared" ca="1" si="1"/>
        <v xml:space="preserve"> </v>
      </c>
      <c r="I14" s="7">
        <f t="shared" si="2"/>
        <v>0</v>
      </c>
      <c r="J14" s="6"/>
      <c r="L14" s="11" t="s">
        <v>15</v>
      </c>
      <c r="M14" s="20">
        <v>25</v>
      </c>
      <c r="N14" s="12">
        <f t="shared" si="3"/>
        <v>0</v>
      </c>
      <c r="O14" s="12">
        <f t="shared" si="4"/>
        <v>0</v>
      </c>
      <c r="P14" s="17">
        <f t="shared" si="5"/>
        <v>0</v>
      </c>
    </row>
    <row r="15" spans="1:16" x14ac:dyDescent="0.25">
      <c r="B15" s="39"/>
      <c r="C15" s="2"/>
      <c r="D15" s="3"/>
      <c r="E15" s="4" t="str">
        <f ca="1">IFERROR(OFFSET(INFO!$E$2,      (MATCH(Pedido!D15,INFO!$E$3:$E$13,0)),1)," ")</f>
        <v xml:space="preserve"> </v>
      </c>
      <c r="F15" s="10"/>
      <c r="G15" s="6">
        <f t="shared" si="0"/>
        <v>0</v>
      </c>
      <c r="H15" s="7" t="str">
        <f t="shared" ca="1" si="1"/>
        <v xml:space="preserve"> </v>
      </c>
      <c r="I15" s="7">
        <f t="shared" si="2"/>
        <v>0</v>
      </c>
      <c r="J15" s="6"/>
      <c r="L15" s="11" t="s">
        <v>16</v>
      </c>
      <c r="M15" s="20">
        <v>4.2</v>
      </c>
      <c r="N15" s="12">
        <f t="shared" si="3"/>
        <v>0</v>
      </c>
      <c r="O15" s="12">
        <f t="shared" si="4"/>
        <v>0</v>
      </c>
      <c r="P15" s="17">
        <f t="shared" si="5"/>
        <v>0</v>
      </c>
    </row>
    <row r="16" spans="1:16" ht="15.75" thickBot="1" x14ac:dyDescent="0.3">
      <c r="B16" s="39"/>
      <c r="C16" s="2"/>
      <c r="D16" s="3"/>
      <c r="E16" s="4" t="str">
        <f ca="1">IFERROR(OFFSET(INFO!$E$2,      (MATCH(Pedido!D16,INFO!$E$3:$E$13,0)),1)," ")</f>
        <v xml:space="preserve"> </v>
      </c>
      <c r="F16" s="10"/>
      <c r="G16" s="6">
        <f t="shared" si="0"/>
        <v>0</v>
      </c>
      <c r="H16" s="7" t="str">
        <f t="shared" ca="1" si="1"/>
        <v xml:space="preserve"> </v>
      </c>
      <c r="I16" s="7">
        <f t="shared" si="2"/>
        <v>0</v>
      </c>
      <c r="J16" s="6"/>
      <c r="L16" s="19" t="s">
        <v>16</v>
      </c>
      <c r="M16" s="21">
        <v>5</v>
      </c>
      <c r="N16" s="13">
        <f t="shared" si="3"/>
        <v>0</v>
      </c>
      <c r="O16" s="13">
        <f t="shared" si="4"/>
        <v>0</v>
      </c>
      <c r="P16" s="18">
        <f t="shared" si="5"/>
        <v>0</v>
      </c>
    </row>
    <row r="17" spans="2:16" x14ac:dyDescent="0.25">
      <c r="B17" s="39"/>
      <c r="C17" s="2"/>
      <c r="D17" s="3"/>
      <c r="E17" s="4" t="str">
        <f ca="1">IFERROR(OFFSET(INFO!$E$2,      (MATCH(Pedido!D17,INFO!$E$3:$E$13,0)),1)," ")</f>
        <v xml:space="preserve"> </v>
      </c>
      <c r="F17" s="10"/>
      <c r="G17" s="6">
        <f t="shared" si="0"/>
        <v>0</v>
      </c>
      <c r="H17" s="7" t="str">
        <f t="shared" ca="1" si="1"/>
        <v xml:space="preserve"> </v>
      </c>
      <c r="I17" s="7">
        <f t="shared" si="2"/>
        <v>0</v>
      </c>
      <c r="J17" s="6"/>
      <c r="N17" s="14"/>
      <c r="O17" s="14"/>
      <c r="P17" s="14"/>
    </row>
    <row r="18" spans="2:16" x14ac:dyDescent="0.25">
      <c r="B18" s="39"/>
      <c r="C18" s="2"/>
      <c r="D18" s="3"/>
      <c r="E18" s="4" t="str">
        <f ca="1">IFERROR(OFFSET(INFO!$E$2,      (MATCH(Pedido!D18,INFO!$E$3:$E$13,0)),1)," ")</f>
        <v xml:space="preserve"> </v>
      </c>
      <c r="F18" s="10"/>
      <c r="G18" s="6">
        <f t="shared" si="0"/>
        <v>0</v>
      </c>
      <c r="H18" s="7" t="str">
        <f t="shared" ca="1" si="1"/>
        <v xml:space="preserve"> </v>
      </c>
      <c r="I18" s="7">
        <f t="shared" si="2"/>
        <v>0</v>
      </c>
      <c r="J18" s="6"/>
      <c r="N18" s="15" t="s">
        <v>17</v>
      </c>
      <c r="O18" s="16">
        <f>SUM(O8:O16)</f>
        <v>0</v>
      </c>
      <c r="P18" s="15" t="s">
        <v>18</v>
      </c>
    </row>
    <row r="19" spans="2:16" x14ac:dyDescent="0.25">
      <c r="B19" s="39"/>
      <c r="C19" s="2"/>
      <c r="D19" s="3"/>
      <c r="E19" s="4" t="str">
        <f ca="1">IFERROR(OFFSET(INFO!$E$2,      (MATCH(Pedido!D19,INFO!$E$3:$E$13,0)),1)," ")</f>
        <v xml:space="preserve"> </v>
      </c>
      <c r="F19" s="10"/>
      <c r="G19" s="6">
        <f t="shared" si="0"/>
        <v>0</v>
      </c>
      <c r="H19" s="7" t="str">
        <f t="shared" ca="1" si="1"/>
        <v xml:space="preserve"> </v>
      </c>
      <c r="I19" s="7">
        <f t="shared" si="2"/>
        <v>0</v>
      </c>
      <c r="J19" s="6"/>
    </row>
    <row r="20" spans="2:16" x14ac:dyDescent="0.25">
      <c r="B20" s="39"/>
      <c r="C20" s="2"/>
      <c r="D20" s="3"/>
      <c r="E20" s="4" t="str">
        <f ca="1">IFERROR(OFFSET(INFO!$E$2,      (MATCH(Pedido!D20,INFO!$E$3:$E$13,0)),1)," ")</f>
        <v xml:space="preserve"> </v>
      </c>
      <c r="F20" s="10"/>
      <c r="G20" s="6">
        <f t="shared" si="0"/>
        <v>0</v>
      </c>
      <c r="H20" s="7" t="str">
        <f t="shared" ca="1" si="1"/>
        <v xml:space="preserve"> </v>
      </c>
      <c r="I20" s="7">
        <f t="shared" si="2"/>
        <v>0</v>
      </c>
      <c r="J20" s="6"/>
    </row>
    <row r="21" spans="2:16" x14ac:dyDescent="0.25">
      <c r="B21" s="39"/>
      <c r="C21" s="2"/>
      <c r="D21" s="3"/>
      <c r="E21" s="4" t="str">
        <f ca="1">IFERROR(OFFSET(INFO!$E$2,      (MATCH(Pedido!D21,INFO!$E$3:$E$13,0)),1)," ")</f>
        <v xml:space="preserve"> </v>
      </c>
      <c r="F21" s="10"/>
      <c r="G21" s="6">
        <f t="shared" si="0"/>
        <v>0</v>
      </c>
      <c r="H21" s="7" t="str">
        <f t="shared" ca="1" si="1"/>
        <v xml:space="preserve"> </v>
      </c>
      <c r="I21" s="7">
        <f t="shared" si="2"/>
        <v>0</v>
      </c>
      <c r="J21" s="6"/>
    </row>
    <row r="22" spans="2:16" x14ac:dyDescent="0.25">
      <c r="B22" s="39"/>
      <c r="C22" s="2"/>
      <c r="D22" s="3"/>
      <c r="E22" s="4" t="str">
        <f ca="1">IFERROR(OFFSET(INFO!$E$2,      (MATCH(Pedido!D22,INFO!$E$3:$E$13,0)),1)," ")</f>
        <v xml:space="preserve"> </v>
      </c>
      <c r="F22" s="10"/>
      <c r="G22" s="6">
        <f t="shared" si="0"/>
        <v>0</v>
      </c>
      <c r="H22" s="7" t="str">
        <f t="shared" ca="1" si="1"/>
        <v xml:space="preserve"> </v>
      </c>
      <c r="I22" s="7">
        <f t="shared" si="2"/>
        <v>0</v>
      </c>
      <c r="J22" s="6"/>
    </row>
    <row r="23" spans="2:16" x14ac:dyDescent="0.25">
      <c r="B23" s="39"/>
      <c r="C23" s="2"/>
      <c r="D23" s="3"/>
      <c r="E23" s="4" t="str">
        <f ca="1">IFERROR(OFFSET(INFO!$E$2,      (MATCH(Pedido!D23,INFO!$E$3:$E$13,0)),1)," ")</f>
        <v xml:space="preserve"> </v>
      </c>
      <c r="F23" s="10"/>
      <c r="G23" s="6">
        <f t="shared" si="0"/>
        <v>0</v>
      </c>
      <c r="H23" s="7" t="str">
        <f t="shared" ca="1" si="1"/>
        <v xml:space="preserve"> </v>
      </c>
      <c r="I23" s="7">
        <f t="shared" si="2"/>
        <v>0</v>
      </c>
      <c r="J23" s="6"/>
    </row>
    <row r="24" spans="2:16" x14ac:dyDescent="0.25">
      <c r="B24" s="39"/>
      <c r="C24" s="2"/>
      <c r="D24" s="3"/>
      <c r="E24" s="4" t="str">
        <f ca="1">IFERROR(OFFSET(INFO!$E$2,      (MATCH(Pedido!D24,INFO!$E$3:$E$13,0)),1)," ")</f>
        <v xml:space="preserve"> </v>
      </c>
      <c r="F24" s="10"/>
      <c r="G24" s="6">
        <f t="shared" si="0"/>
        <v>0</v>
      </c>
      <c r="H24" s="7" t="str">
        <f t="shared" ca="1" si="1"/>
        <v xml:space="preserve"> </v>
      </c>
      <c r="I24" s="7">
        <f t="shared" si="2"/>
        <v>0</v>
      </c>
      <c r="J24" s="6"/>
    </row>
    <row r="25" spans="2:16" x14ac:dyDescent="0.25">
      <c r="B25" s="40"/>
      <c r="C25" s="2"/>
      <c r="D25" s="3"/>
      <c r="E25" s="4" t="str">
        <f ca="1">IFERROR(OFFSET(INFO!$E$2,      (MATCH(Pedido!D25,INFO!$E$3:$E$13,0)),1)," ")</f>
        <v xml:space="preserve"> </v>
      </c>
      <c r="F25" s="10"/>
      <c r="G25" s="6">
        <f t="shared" si="0"/>
        <v>0</v>
      </c>
      <c r="H25" s="7" t="str">
        <f t="shared" ca="1" si="1"/>
        <v xml:space="preserve"> </v>
      </c>
      <c r="I25" s="7">
        <f t="shared" si="2"/>
        <v>0</v>
      </c>
      <c r="J25" s="6"/>
    </row>
    <row r="26" spans="2:16" x14ac:dyDescent="0.25">
      <c r="B26" s="40"/>
      <c r="C26" s="2"/>
      <c r="D26" s="3"/>
      <c r="E26" s="4" t="str">
        <f ca="1">IFERROR(OFFSET(INFO!$E$2,      (MATCH(Pedido!D26,INFO!$E$3:$E$13,0)),1)," ")</f>
        <v xml:space="preserve"> </v>
      </c>
      <c r="F26" s="10"/>
      <c r="G26" s="6">
        <f t="shared" si="0"/>
        <v>0</v>
      </c>
      <c r="H26" s="7" t="str">
        <f t="shared" ca="1" si="1"/>
        <v xml:space="preserve"> </v>
      </c>
      <c r="I26" s="7">
        <f t="shared" si="2"/>
        <v>0</v>
      </c>
      <c r="J26" s="6"/>
    </row>
    <row r="27" spans="2:16" x14ac:dyDescent="0.25">
      <c r="B27" s="40"/>
      <c r="C27" s="2"/>
      <c r="D27" s="3"/>
      <c r="E27" s="4" t="str">
        <f ca="1">IFERROR(OFFSET(INFO!$E$2,      (MATCH(Pedido!D27,INFO!$E$3:$E$13,0)),1)," ")</f>
        <v xml:space="preserve"> </v>
      </c>
      <c r="F27" s="10"/>
      <c r="G27" s="6">
        <f t="shared" si="0"/>
        <v>0</v>
      </c>
      <c r="H27" s="7" t="str">
        <f t="shared" ca="1" si="1"/>
        <v xml:space="preserve"> </v>
      </c>
      <c r="I27" s="7">
        <f t="shared" si="2"/>
        <v>0</v>
      </c>
      <c r="J27" s="6"/>
    </row>
    <row r="28" spans="2:16" x14ac:dyDescent="0.25">
      <c r="B28" s="40"/>
      <c r="C28" s="2"/>
      <c r="D28" s="3"/>
      <c r="E28" s="4" t="str">
        <f ca="1">IFERROR(OFFSET(INFO!$E$2,      (MATCH(Pedido!D28,INFO!$E$3:$E$13,0)),1)," ")</f>
        <v xml:space="preserve"> </v>
      </c>
      <c r="F28" s="10"/>
      <c r="G28" s="6">
        <f t="shared" si="0"/>
        <v>0</v>
      </c>
      <c r="H28" s="7" t="str">
        <f t="shared" ca="1" si="1"/>
        <v xml:space="preserve"> </v>
      </c>
      <c r="I28" s="7">
        <f t="shared" si="2"/>
        <v>0</v>
      </c>
      <c r="J28" s="6"/>
    </row>
    <row r="29" spans="2:16" x14ac:dyDescent="0.25">
      <c r="B29" s="39"/>
      <c r="C29" s="2"/>
      <c r="D29" s="3"/>
      <c r="E29" s="4" t="str">
        <f ca="1">IFERROR(OFFSET(INFO!$E$2,      (MATCH(Pedido!D29,INFO!$E$3:$E$13,0)),1)," ")</f>
        <v xml:space="preserve"> </v>
      </c>
      <c r="F29" s="10"/>
      <c r="G29" s="6">
        <f t="shared" si="0"/>
        <v>0</v>
      </c>
      <c r="H29" s="7" t="str">
        <f t="shared" ca="1" si="1"/>
        <v xml:space="preserve"> </v>
      </c>
      <c r="I29" s="7">
        <f t="shared" si="2"/>
        <v>0</v>
      </c>
      <c r="J29" s="6"/>
    </row>
    <row r="30" spans="2:16" x14ac:dyDescent="0.25">
      <c r="B30" s="39"/>
      <c r="C30" s="2"/>
      <c r="D30" s="3"/>
      <c r="E30" s="4" t="str">
        <f ca="1">IFERROR(OFFSET(INFO!$E$2,      (MATCH(Pedido!D30,INFO!$E$3:$E$13,0)),1)," ")</f>
        <v xml:space="preserve"> </v>
      </c>
      <c r="F30" s="10"/>
      <c r="G30" s="6">
        <f t="shared" si="0"/>
        <v>0</v>
      </c>
      <c r="H30" s="7" t="str">
        <f t="shared" ca="1" si="1"/>
        <v xml:space="preserve"> </v>
      </c>
      <c r="I30" s="7">
        <f t="shared" si="2"/>
        <v>0</v>
      </c>
      <c r="J30" s="6"/>
    </row>
    <row r="31" spans="2:16" x14ac:dyDescent="0.25">
      <c r="B31" s="39"/>
      <c r="C31" s="2"/>
      <c r="D31" s="3"/>
      <c r="E31" s="4" t="str">
        <f ca="1">IFERROR(OFFSET(INFO!$E$2,      (MATCH(Pedido!D31,INFO!$E$3:$E$13,0)),1)," ")</f>
        <v xml:space="preserve"> </v>
      </c>
      <c r="F31" s="10"/>
      <c r="G31" s="6">
        <f t="shared" si="0"/>
        <v>0</v>
      </c>
      <c r="H31" s="7" t="str">
        <f t="shared" ca="1" si="1"/>
        <v xml:space="preserve"> </v>
      </c>
      <c r="I31" s="7">
        <f t="shared" si="2"/>
        <v>0</v>
      </c>
      <c r="J31" s="6"/>
    </row>
    <row r="32" spans="2:16" x14ac:dyDescent="0.25">
      <c r="B32" s="39"/>
      <c r="C32" s="2"/>
      <c r="D32" s="3"/>
      <c r="E32" s="4" t="str">
        <f ca="1">IFERROR(OFFSET(INFO!$E$2,      (MATCH(Pedido!D32,INFO!$E$3:$E$13,0)),1)," ")</f>
        <v xml:space="preserve"> </v>
      </c>
      <c r="F32" s="10"/>
      <c r="G32" s="6">
        <f t="shared" si="0"/>
        <v>0</v>
      </c>
      <c r="H32" s="7" t="str">
        <f t="shared" ca="1" si="1"/>
        <v xml:space="preserve"> </v>
      </c>
      <c r="I32" s="7">
        <f t="shared" si="2"/>
        <v>0</v>
      </c>
      <c r="J32" s="6"/>
    </row>
    <row r="33" spans="2:10" x14ac:dyDescent="0.25">
      <c r="B33" s="39"/>
      <c r="C33" s="2"/>
      <c r="D33" s="3"/>
      <c r="E33" s="4" t="str">
        <f ca="1">IFERROR(OFFSET(INFO!$E$2,      (MATCH(Pedido!D33,INFO!$E$3:$E$13,0)),1)," ")</f>
        <v xml:space="preserve"> </v>
      </c>
      <c r="F33" s="10"/>
      <c r="G33" s="6">
        <f t="shared" si="0"/>
        <v>0</v>
      </c>
      <c r="H33" s="7" t="str">
        <f t="shared" ca="1" si="1"/>
        <v xml:space="preserve"> </v>
      </c>
      <c r="I33" s="7">
        <f t="shared" si="2"/>
        <v>0</v>
      </c>
      <c r="J33" s="6"/>
    </row>
    <row r="34" spans="2:10" x14ac:dyDescent="0.25">
      <c r="B34" s="39"/>
      <c r="C34" s="2"/>
      <c r="D34" s="3"/>
      <c r="E34" s="4" t="str">
        <f ca="1">IFERROR(OFFSET(INFO!$E$2,      (MATCH(Pedido!D34,INFO!$E$3:$E$13,0)),1)," ")</f>
        <v xml:space="preserve"> </v>
      </c>
      <c r="F34" s="10"/>
      <c r="G34" s="6">
        <f t="shared" si="0"/>
        <v>0</v>
      </c>
      <c r="H34" s="7" t="str">
        <f t="shared" ca="1" si="1"/>
        <v xml:space="preserve"> </v>
      </c>
      <c r="I34" s="7">
        <f t="shared" si="2"/>
        <v>0</v>
      </c>
      <c r="J34" s="6"/>
    </row>
    <row r="35" spans="2:10" x14ac:dyDescent="0.25">
      <c r="B35" s="39"/>
      <c r="C35" s="2"/>
      <c r="D35" s="3"/>
      <c r="E35" s="4" t="str">
        <f ca="1">IFERROR(OFFSET(INFO!$E$2,      (MATCH(Pedido!D35,INFO!$E$3:$E$13,0)),1)," ")</f>
        <v xml:space="preserve"> </v>
      </c>
      <c r="F35" s="10"/>
      <c r="G35" s="6">
        <f t="shared" si="0"/>
        <v>0</v>
      </c>
      <c r="H35" s="7" t="str">
        <f t="shared" ca="1" si="1"/>
        <v xml:space="preserve"> </v>
      </c>
      <c r="I35" s="7">
        <f t="shared" si="2"/>
        <v>0</v>
      </c>
      <c r="J35" s="6"/>
    </row>
    <row r="36" spans="2:10" x14ac:dyDescent="0.25">
      <c r="B36" s="39"/>
      <c r="C36" s="2"/>
      <c r="D36" s="3"/>
      <c r="E36" s="4" t="str">
        <f ca="1">IFERROR(OFFSET(INFO!$E$2,      (MATCH(Pedido!D36,INFO!$E$3:$E$13,0)),1)," ")</f>
        <v xml:space="preserve"> </v>
      </c>
      <c r="F36" s="10"/>
      <c r="G36" s="6">
        <f t="shared" si="0"/>
        <v>0</v>
      </c>
      <c r="H36" s="7" t="str">
        <f t="shared" ca="1" si="1"/>
        <v xml:space="preserve"> </v>
      </c>
      <c r="I36" s="7">
        <f t="shared" si="2"/>
        <v>0</v>
      </c>
      <c r="J36" s="6"/>
    </row>
    <row r="37" spans="2:10" x14ac:dyDescent="0.25">
      <c r="B37" s="39"/>
      <c r="C37" s="2"/>
      <c r="D37" s="3"/>
      <c r="E37" s="4" t="str">
        <f ca="1">IFERROR(OFFSET(INFO!$E$2,      (MATCH(Pedido!D37,INFO!$E$3:$E$13,0)),1)," ")</f>
        <v xml:space="preserve"> </v>
      </c>
      <c r="F37" s="10"/>
      <c r="G37" s="6">
        <f t="shared" si="0"/>
        <v>0</v>
      </c>
      <c r="H37" s="7" t="str">
        <f t="shared" ca="1" si="1"/>
        <v xml:space="preserve"> </v>
      </c>
      <c r="I37" s="7">
        <f t="shared" si="2"/>
        <v>0</v>
      </c>
      <c r="J37" s="6"/>
    </row>
    <row r="38" spans="2:10" x14ac:dyDescent="0.25">
      <c r="B38" s="39"/>
      <c r="C38" s="2"/>
      <c r="D38" s="3"/>
      <c r="E38" s="4" t="str">
        <f ca="1">IFERROR(OFFSET(INFO!$E$2,      (MATCH(Pedido!D38,INFO!$E$3:$E$13,0)),1)," ")</f>
        <v xml:space="preserve"> </v>
      </c>
      <c r="F38" s="10"/>
      <c r="G38" s="6">
        <f t="shared" si="0"/>
        <v>0</v>
      </c>
      <c r="H38" s="7" t="str">
        <f t="shared" ca="1" si="1"/>
        <v xml:space="preserve"> </v>
      </c>
      <c r="I38" s="7">
        <f t="shared" si="2"/>
        <v>0</v>
      </c>
      <c r="J38" s="6"/>
    </row>
    <row r="39" spans="2:10" x14ac:dyDescent="0.25">
      <c r="B39" s="39"/>
      <c r="C39" s="2"/>
      <c r="D39" s="3"/>
      <c r="E39" s="4" t="str">
        <f ca="1">IFERROR(OFFSET(INFO!$E$2,      (MATCH(Pedido!D39,INFO!$E$3:$E$13,0)),1)," ")</f>
        <v xml:space="preserve"> </v>
      </c>
      <c r="F39" s="10"/>
      <c r="G39" s="6">
        <f t="shared" si="0"/>
        <v>0</v>
      </c>
      <c r="H39" s="7" t="str">
        <f t="shared" ca="1" si="1"/>
        <v xml:space="preserve"> </v>
      </c>
      <c r="I39" s="7">
        <f t="shared" si="2"/>
        <v>0</v>
      </c>
      <c r="J39" s="6"/>
    </row>
    <row r="40" spans="2:10" x14ac:dyDescent="0.25">
      <c r="B40" s="2"/>
      <c r="C40" s="2"/>
      <c r="D40" s="3"/>
      <c r="E40" s="4" t="str">
        <f ca="1">IFERROR(OFFSET(INFO!$E$2,      (MATCH(Pedido!D40,INFO!$E$3:$E$13,0)),1)," ")</f>
        <v xml:space="preserve"> </v>
      </c>
      <c r="F40" s="10"/>
      <c r="G40" s="6">
        <f t="shared" si="0"/>
        <v>0</v>
      </c>
      <c r="H40" s="7" t="str">
        <f t="shared" ca="1" si="1"/>
        <v xml:space="preserve"> </v>
      </c>
      <c r="I40" s="7">
        <f t="shared" si="2"/>
        <v>0</v>
      </c>
      <c r="J40" s="6"/>
    </row>
    <row r="41" spans="2:10" x14ac:dyDescent="0.25">
      <c r="B41" s="2"/>
      <c r="C41" s="2"/>
      <c r="D41" s="3"/>
      <c r="E41" s="4" t="str">
        <f ca="1">IFERROR(OFFSET(INFO!$E$2,      (MATCH(Pedido!D41,INFO!$E$3:$E$13,0)),1)," ")</f>
        <v xml:space="preserve"> </v>
      </c>
      <c r="F41" s="10"/>
      <c r="G41" s="6">
        <f t="shared" si="0"/>
        <v>0</v>
      </c>
      <c r="H41" s="7" t="str">
        <f t="shared" ca="1" si="1"/>
        <v xml:space="preserve"> </v>
      </c>
      <c r="I41" s="7">
        <f t="shared" si="2"/>
        <v>0</v>
      </c>
      <c r="J41" s="6"/>
    </row>
    <row r="42" spans="2:10" x14ac:dyDescent="0.25">
      <c r="B42" s="2"/>
      <c r="C42" s="2"/>
      <c r="D42" s="3"/>
      <c r="E42" s="4" t="str">
        <f ca="1">IFERROR(OFFSET(INFO!$E$2,      (MATCH(Pedido!D42,INFO!$E$3:$E$13,0)),1)," ")</f>
        <v xml:space="preserve"> </v>
      </c>
      <c r="F42" s="10"/>
      <c r="G42" s="6">
        <f t="shared" si="0"/>
        <v>0</v>
      </c>
      <c r="H42" s="7" t="str">
        <f t="shared" ca="1" si="1"/>
        <v xml:space="preserve"> </v>
      </c>
      <c r="I42" s="7">
        <f t="shared" si="2"/>
        <v>0</v>
      </c>
      <c r="J42" s="6"/>
    </row>
    <row r="43" spans="2:10" x14ac:dyDescent="0.25">
      <c r="B43" s="2"/>
      <c r="C43" s="2"/>
      <c r="D43" s="3"/>
      <c r="E43" s="4" t="str">
        <f ca="1">IFERROR(OFFSET(INFO!$E$2,      (MATCH(Pedido!D43,INFO!$E$3:$E$13,0)),1)," ")</f>
        <v xml:space="preserve"> </v>
      </c>
      <c r="F43" s="10"/>
      <c r="G43" s="6">
        <f t="shared" si="0"/>
        <v>0</v>
      </c>
      <c r="H43" s="7" t="str">
        <f t="shared" ca="1" si="1"/>
        <v xml:space="preserve"> </v>
      </c>
      <c r="I43" s="7">
        <f t="shared" si="2"/>
        <v>0</v>
      </c>
      <c r="J43" s="6"/>
    </row>
    <row r="44" spans="2:10" x14ac:dyDescent="0.25">
      <c r="B44" s="2"/>
      <c r="C44" s="2"/>
      <c r="D44" s="3"/>
      <c r="E44" s="4" t="str">
        <f ca="1">IFERROR(OFFSET(INFO!$E$2,      (MATCH(Pedido!D44,INFO!$E$3:$E$13,0)),1)," ")</f>
        <v xml:space="preserve"> </v>
      </c>
      <c r="F44" s="10"/>
      <c r="G44" s="6">
        <f t="shared" si="0"/>
        <v>0</v>
      </c>
      <c r="H44" s="7" t="str">
        <f t="shared" ca="1" si="1"/>
        <v xml:space="preserve"> </v>
      </c>
      <c r="I44" s="7">
        <f t="shared" si="2"/>
        <v>0</v>
      </c>
      <c r="J44" s="6"/>
    </row>
    <row r="45" spans="2:10" x14ac:dyDescent="0.25">
      <c r="B45" s="2"/>
      <c r="C45" s="2"/>
      <c r="D45" s="3"/>
      <c r="E45" s="4" t="str">
        <f ca="1">IFERROR(OFFSET(INFO!$E$2,      (MATCH(Pedido!D45,INFO!$E$3:$E$13,0)),1)," ")</f>
        <v xml:space="preserve"> </v>
      </c>
      <c r="F45" s="10"/>
      <c r="G45" s="6">
        <f t="shared" si="0"/>
        <v>0</v>
      </c>
      <c r="H45" s="7" t="str">
        <f t="shared" ca="1" si="1"/>
        <v xml:space="preserve"> </v>
      </c>
      <c r="I45" s="7">
        <f t="shared" si="2"/>
        <v>0</v>
      </c>
      <c r="J45" s="6"/>
    </row>
    <row r="46" spans="2:10" x14ac:dyDescent="0.25">
      <c r="B46" s="2"/>
      <c r="C46" s="2"/>
      <c r="D46" s="3"/>
      <c r="E46" s="4" t="str">
        <f ca="1">IFERROR(OFFSET(INFO!$E$2,      (MATCH(Pedido!D46,INFO!$E$3:$E$13,0)),1)," ")</f>
        <v xml:space="preserve"> </v>
      </c>
      <c r="F46" s="10"/>
      <c r="G46" s="6">
        <f t="shared" si="0"/>
        <v>0</v>
      </c>
      <c r="H46" s="7" t="str">
        <f t="shared" ca="1" si="1"/>
        <v xml:space="preserve"> </v>
      </c>
      <c r="I46" s="7">
        <f t="shared" si="2"/>
        <v>0</v>
      </c>
      <c r="J46" s="6"/>
    </row>
    <row r="47" spans="2:10" x14ac:dyDescent="0.25">
      <c r="B47" s="2"/>
      <c r="C47" s="2"/>
      <c r="D47" s="3"/>
      <c r="E47" s="4" t="str">
        <f ca="1">IFERROR(OFFSET(INFO!$E$2,      (MATCH(Pedido!D47,INFO!$E$3:$E$13,0)),1)," ")</f>
        <v xml:space="preserve"> </v>
      </c>
      <c r="F47" s="10"/>
      <c r="G47" s="6">
        <f t="shared" si="0"/>
        <v>0</v>
      </c>
      <c r="H47" s="7" t="str">
        <f t="shared" ca="1" si="1"/>
        <v xml:space="preserve"> </v>
      </c>
      <c r="I47" s="7">
        <f t="shared" si="2"/>
        <v>0</v>
      </c>
      <c r="J47" s="6"/>
    </row>
    <row r="48" spans="2:10" x14ac:dyDescent="0.25">
      <c r="B48" s="2"/>
      <c r="C48" s="2"/>
      <c r="D48" s="3"/>
      <c r="E48" s="4" t="str">
        <f ca="1">IFERROR(OFFSET(INFO!$E$2,      (MATCH(Pedido!D48,INFO!$E$3:$E$13,0)),1)," ")</f>
        <v xml:space="preserve"> </v>
      </c>
      <c r="F48" s="10"/>
      <c r="G48" s="6">
        <f t="shared" si="0"/>
        <v>0</v>
      </c>
      <c r="H48" s="7" t="str">
        <f t="shared" ca="1" si="1"/>
        <v xml:space="preserve"> </v>
      </c>
      <c r="I48" s="7">
        <f t="shared" si="2"/>
        <v>0</v>
      </c>
      <c r="J48" s="6"/>
    </row>
    <row r="49" spans="2:10" x14ac:dyDescent="0.25">
      <c r="B49" s="2"/>
      <c r="C49" s="2"/>
      <c r="D49" s="3"/>
      <c r="E49" s="4" t="str">
        <f ca="1">IFERROR(OFFSET(INFO!$E$2,      (MATCH(Pedido!D49,INFO!$E$3:$E$13,0)),1)," ")</f>
        <v xml:space="preserve"> </v>
      </c>
      <c r="F49" s="10"/>
      <c r="G49" s="6">
        <f t="shared" si="0"/>
        <v>0</v>
      </c>
      <c r="H49" s="7" t="str">
        <f t="shared" ca="1" si="1"/>
        <v xml:space="preserve"> </v>
      </c>
      <c r="I49" s="7">
        <f t="shared" si="2"/>
        <v>0</v>
      </c>
      <c r="J49" s="6"/>
    </row>
    <row r="50" spans="2:10" x14ac:dyDescent="0.25">
      <c r="B50" s="2"/>
      <c r="C50" s="2"/>
      <c r="D50" s="3"/>
      <c r="E50" s="4" t="str">
        <f ca="1">IFERROR(OFFSET(INFO!$E$2,      (MATCH(Pedido!D50,INFO!$E$3:$E$13,0)),1)," ")</f>
        <v xml:space="preserve"> </v>
      </c>
      <c r="F50" s="10"/>
      <c r="G50" s="6">
        <f t="shared" si="0"/>
        <v>0</v>
      </c>
      <c r="H50" s="7" t="str">
        <f t="shared" ca="1" si="1"/>
        <v xml:space="preserve"> </v>
      </c>
      <c r="I50" s="7">
        <f t="shared" si="2"/>
        <v>0</v>
      </c>
      <c r="J50" s="6"/>
    </row>
    <row r="51" spans="2:10" x14ac:dyDescent="0.25">
      <c r="B51" s="2"/>
      <c r="C51" s="2"/>
      <c r="D51" s="3"/>
      <c r="E51" s="4" t="str">
        <f ca="1">IFERROR(OFFSET(INFO!$E$2,      (MATCH(Pedido!D51,INFO!$E$3:$E$13,0)),1)," ")</f>
        <v xml:space="preserve"> </v>
      </c>
      <c r="F51" s="10"/>
      <c r="G51" s="6">
        <f t="shared" si="0"/>
        <v>0</v>
      </c>
      <c r="H51" s="7" t="str">
        <f t="shared" ca="1" si="1"/>
        <v xml:space="preserve"> </v>
      </c>
      <c r="I51" s="7">
        <f t="shared" si="2"/>
        <v>0</v>
      </c>
      <c r="J51" s="6"/>
    </row>
    <row r="52" spans="2:10" x14ac:dyDescent="0.25">
      <c r="B52" s="2"/>
      <c r="C52" s="2"/>
      <c r="D52" s="3"/>
      <c r="E52" s="4" t="str">
        <f ca="1">IFERROR(OFFSET(INFO!$E$2,      (MATCH(Pedido!D52,INFO!$E$3:$E$13,0)),1)," ")</f>
        <v xml:space="preserve"> </v>
      </c>
      <c r="F52" s="10"/>
      <c r="G52" s="6">
        <f t="shared" si="0"/>
        <v>0</v>
      </c>
      <c r="H52" s="7" t="str">
        <f t="shared" ca="1" si="1"/>
        <v xml:space="preserve"> </v>
      </c>
      <c r="I52" s="7">
        <f t="shared" si="2"/>
        <v>0</v>
      </c>
      <c r="J52" s="6"/>
    </row>
    <row r="53" spans="2:10" x14ac:dyDescent="0.25">
      <c r="B53" s="2"/>
      <c r="C53" s="2"/>
      <c r="D53" s="3"/>
      <c r="E53" s="4" t="str">
        <f ca="1">IFERROR(OFFSET(INFO!$E$2,      (MATCH(Pedido!D53,INFO!$E$3:$E$13,0)),1)," ")</f>
        <v xml:space="preserve"> </v>
      </c>
      <c r="F53" s="10"/>
      <c r="G53" s="6">
        <f t="shared" si="0"/>
        <v>0</v>
      </c>
      <c r="H53" s="7" t="str">
        <f t="shared" ca="1" si="1"/>
        <v xml:space="preserve"> </v>
      </c>
      <c r="I53" s="7">
        <f t="shared" si="2"/>
        <v>0</v>
      </c>
      <c r="J53" s="6"/>
    </row>
    <row r="54" spans="2:10" x14ac:dyDescent="0.25">
      <c r="B54" s="2"/>
      <c r="C54" s="2"/>
      <c r="D54" s="3"/>
      <c r="E54" s="4" t="str">
        <f ca="1">IFERROR(OFFSET(INFO!$E$2,      (MATCH(Pedido!D54,INFO!$E$3:$E$13,0)),1)," ")</f>
        <v xml:space="preserve"> </v>
      </c>
      <c r="F54" s="10"/>
      <c r="G54" s="6">
        <f t="shared" si="0"/>
        <v>0</v>
      </c>
      <c r="H54" s="7" t="str">
        <f t="shared" ca="1" si="1"/>
        <v xml:space="preserve"> </v>
      </c>
      <c r="I54" s="7">
        <f t="shared" si="2"/>
        <v>0</v>
      </c>
      <c r="J54" s="6"/>
    </row>
    <row r="55" spans="2:10" x14ac:dyDescent="0.25">
      <c r="B55" s="2"/>
      <c r="C55" s="2"/>
      <c r="D55" s="3"/>
      <c r="E55" s="4" t="str">
        <f ca="1">IFERROR(OFFSET(INFO!$E$2,      (MATCH(Pedido!D55,INFO!$E$3:$E$13,0)),1)," ")</f>
        <v xml:space="preserve"> </v>
      </c>
      <c r="F55" s="10"/>
      <c r="G55" s="6">
        <f t="shared" si="0"/>
        <v>0</v>
      </c>
      <c r="H55" s="7" t="str">
        <f t="shared" ca="1" si="1"/>
        <v xml:space="preserve"> </v>
      </c>
      <c r="I55" s="7">
        <f t="shared" si="2"/>
        <v>0</v>
      </c>
      <c r="J55" s="6"/>
    </row>
    <row r="56" spans="2:10" x14ac:dyDescent="0.25">
      <c r="B56" s="2"/>
      <c r="C56" s="2"/>
      <c r="D56" s="3"/>
      <c r="E56" s="4" t="str">
        <f ca="1">IFERROR(OFFSET(INFO!$E$2,      (MATCH(Pedido!D56,INFO!$E$3:$E$13,0)),1)," ")</f>
        <v xml:space="preserve"> </v>
      </c>
      <c r="F56" s="10"/>
      <c r="G56" s="6">
        <f t="shared" si="0"/>
        <v>0</v>
      </c>
      <c r="H56" s="7" t="str">
        <f t="shared" ca="1" si="1"/>
        <v xml:space="preserve"> </v>
      </c>
      <c r="I56" s="7">
        <f t="shared" si="2"/>
        <v>0</v>
      </c>
      <c r="J56" s="6"/>
    </row>
    <row r="57" spans="2:10" x14ac:dyDescent="0.25">
      <c r="B57" s="2"/>
      <c r="C57" s="2"/>
      <c r="D57" s="3"/>
      <c r="E57" s="4" t="str">
        <f ca="1">IFERROR(OFFSET(INFO!$E$2,      (MATCH(Pedido!D57,INFO!$E$3:$E$13,0)),1)," ")</f>
        <v xml:space="preserve"> </v>
      </c>
      <c r="F57" s="10"/>
      <c r="G57" s="6">
        <f t="shared" si="0"/>
        <v>0</v>
      </c>
      <c r="H57" s="7" t="str">
        <f t="shared" ca="1" si="1"/>
        <v xml:space="preserve"> </v>
      </c>
      <c r="I57" s="7">
        <f t="shared" si="2"/>
        <v>0</v>
      </c>
      <c r="J57" s="6"/>
    </row>
    <row r="58" spans="2:10" x14ac:dyDescent="0.25">
      <c r="B58" s="2"/>
      <c r="C58" s="2"/>
      <c r="D58" s="3"/>
      <c r="E58" s="4" t="str">
        <f ca="1">IFERROR(OFFSET(INFO!$E$2,      (MATCH(Pedido!D58,INFO!$E$3:$E$13,0)),1)," ")</f>
        <v xml:space="preserve"> </v>
      </c>
      <c r="F58" s="10"/>
      <c r="G58" s="6">
        <f t="shared" si="0"/>
        <v>0</v>
      </c>
      <c r="H58" s="7" t="str">
        <f t="shared" ca="1" si="1"/>
        <v xml:space="preserve"> </v>
      </c>
      <c r="I58" s="7">
        <f t="shared" si="2"/>
        <v>0</v>
      </c>
      <c r="J58" s="6"/>
    </row>
    <row r="59" spans="2:10" x14ac:dyDescent="0.25">
      <c r="B59" s="2"/>
      <c r="C59" s="2"/>
      <c r="D59" s="3"/>
      <c r="E59" s="4" t="str">
        <f ca="1">IFERROR(OFFSET(INFO!$E$2,      (MATCH(Pedido!D59,INFO!$E$3:$E$13,0)),1)," ")</f>
        <v xml:space="preserve"> </v>
      </c>
      <c r="F59" s="10"/>
      <c r="G59" s="6">
        <f t="shared" si="0"/>
        <v>0</v>
      </c>
      <c r="H59" s="7" t="str">
        <f t="shared" ca="1" si="1"/>
        <v xml:space="preserve"> </v>
      </c>
      <c r="I59" s="7">
        <f t="shared" si="2"/>
        <v>0</v>
      </c>
      <c r="J59" s="6"/>
    </row>
    <row r="60" spans="2:10" x14ac:dyDescent="0.25">
      <c r="B60" s="2"/>
      <c r="C60" s="2"/>
      <c r="D60" s="3"/>
      <c r="E60" s="4" t="str">
        <f ca="1">IFERROR(OFFSET(INFO!$E$2,      (MATCH(Pedido!D60,INFO!$E$3:$E$13,0)),1)," ")</f>
        <v xml:space="preserve"> </v>
      </c>
      <c r="F60" s="10"/>
      <c r="G60" s="6">
        <f t="shared" si="0"/>
        <v>0</v>
      </c>
      <c r="H60" s="7" t="str">
        <f t="shared" ca="1" si="1"/>
        <v xml:space="preserve"> </v>
      </c>
      <c r="I60" s="7">
        <f t="shared" si="2"/>
        <v>0</v>
      </c>
      <c r="J60" s="6"/>
    </row>
    <row r="61" spans="2:10" x14ac:dyDescent="0.25">
      <c r="B61" s="2"/>
      <c r="C61" s="2"/>
      <c r="D61" s="3"/>
      <c r="E61" s="4" t="str">
        <f ca="1">IFERROR(OFFSET(INFO!$E$2,      (MATCH(Pedido!D61,INFO!$E$3:$E$13,0)),1)," ")</f>
        <v xml:space="preserve"> </v>
      </c>
      <c r="F61" s="10"/>
      <c r="G61" s="6">
        <f t="shared" si="0"/>
        <v>0</v>
      </c>
      <c r="H61" s="7" t="str">
        <f t="shared" ca="1" si="1"/>
        <v xml:space="preserve"> </v>
      </c>
      <c r="I61" s="7">
        <f t="shared" si="2"/>
        <v>0</v>
      </c>
      <c r="J61" s="6"/>
    </row>
    <row r="62" spans="2:10" x14ac:dyDescent="0.25">
      <c r="B62" s="2"/>
      <c r="C62" s="2"/>
      <c r="D62" s="3"/>
      <c r="E62" s="4" t="str">
        <f ca="1">IFERROR(OFFSET(INFO!$E$2,      (MATCH(Pedido!D62,INFO!$E$3:$E$13,0)),1)," ")</f>
        <v xml:space="preserve"> </v>
      </c>
      <c r="F62" s="10"/>
      <c r="G62" s="6">
        <f t="shared" si="0"/>
        <v>0</v>
      </c>
      <c r="H62" s="7" t="str">
        <f t="shared" ca="1" si="1"/>
        <v xml:space="preserve"> </v>
      </c>
      <c r="I62" s="7">
        <f t="shared" si="2"/>
        <v>0</v>
      </c>
      <c r="J62" s="6"/>
    </row>
    <row r="63" spans="2:10" x14ac:dyDescent="0.25">
      <c r="B63" s="2"/>
      <c r="C63" s="2"/>
      <c r="D63" s="3"/>
      <c r="E63" s="4" t="str">
        <f ca="1">IFERROR(OFFSET(INFO!$E$2,      (MATCH(Pedido!D63,INFO!$E$3:$E$13,0)),1)," ")</f>
        <v xml:space="preserve"> </v>
      </c>
      <c r="F63" s="10"/>
      <c r="G63" s="6">
        <f t="shared" si="0"/>
        <v>0</v>
      </c>
      <c r="H63" s="7" t="str">
        <f t="shared" ca="1" si="1"/>
        <v xml:space="preserve"> </v>
      </c>
      <c r="I63" s="7">
        <f t="shared" si="2"/>
        <v>0</v>
      </c>
      <c r="J63" s="6"/>
    </row>
    <row r="64" spans="2:10" x14ac:dyDescent="0.25">
      <c r="B64" s="2"/>
      <c r="C64" s="2"/>
      <c r="D64" s="3"/>
      <c r="E64" s="4" t="str">
        <f ca="1">IFERROR(OFFSET(INFO!$E$2,      (MATCH(Pedido!D64,INFO!$E$3:$E$13,0)),1)," ")</f>
        <v xml:space="preserve"> </v>
      </c>
      <c r="F64" s="10"/>
      <c r="G64" s="6">
        <f t="shared" si="0"/>
        <v>0</v>
      </c>
      <c r="H64" s="7" t="str">
        <f t="shared" ca="1" si="1"/>
        <v xml:space="preserve"> </v>
      </c>
      <c r="I64" s="7">
        <f t="shared" si="2"/>
        <v>0</v>
      </c>
      <c r="J64" s="6"/>
    </row>
    <row r="65" spans="2:10" x14ac:dyDescent="0.25">
      <c r="B65" s="2"/>
      <c r="C65" s="2"/>
      <c r="D65" s="3"/>
      <c r="E65" s="4" t="str">
        <f ca="1">IFERROR(OFFSET(INFO!$E$2,      (MATCH(Pedido!D65,INFO!$E$3:$E$13,0)),1)," ")</f>
        <v xml:space="preserve"> </v>
      </c>
      <c r="F65" s="10"/>
      <c r="G65" s="6">
        <f t="shared" si="0"/>
        <v>0</v>
      </c>
      <c r="H65" s="7" t="str">
        <f t="shared" ca="1" si="1"/>
        <v xml:space="preserve"> </v>
      </c>
      <c r="I65" s="7">
        <f t="shared" si="2"/>
        <v>0</v>
      </c>
      <c r="J65" s="6"/>
    </row>
    <row r="66" spans="2:10" x14ac:dyDescent="0.25">
      <c r="B66" s="2"/>
      <c r="C66" s="2"/>
      <c r="D66" s="3"/>
      <c r="E66" s="4" t="str">
        <f ca="1">IFERROR(OFFSET(INFO!$E$2,      (MATCH(Pedido!D66,INFO!$E$3:$E$13,0)),1)," ")</f>
        <v xml:space="preserve"> </v>
      </c>
      <c r="F66" s="10"/>
      <c r="G66" s="6">
        <f t="shared" si="0"/>
        <v>0</v>
      </c>
      <c r="H66" s="7" t="str">
        <f t="shared" ca="1" si="1"/>
        <v xml:space="preserve"> </v>
      </c>
      <c r="I66" s="7">
        <f t="shared" si="2"/>
        <v>0</v>
      </c>
      <c r="J66" s="6"/>
    </row>
    <row r="67" spans="2:10" x14ac:dyDescent="0.25">
      <c r="B67" s="2"/>
      <c r="C67" s="2"/>
      <c r="D67" s="3"/>
      <c r="E67" s="4" t="str">
        <f ca="1">IFERROR(OFFSET(INFO!$E$2,      (MATCH(Pedido!D67,INFO!$E$3:$E$13,0)),1)," ")</f>
        <v xml:space="preserve"> </v>
      </c>
      <c r="F67" s="10"/>
      <c r="G67" s="6">
        <f t="shared" si="0"/>
        <v>0</v>
      </c>
      <c r="H67" s="7" t="str">
        <f t="shared" ca="1" si="1"/>
        <v xml:space="preserve"> </v>
      </c>
      <c r="I67" s="7">
        <f t="shared" si="2"/>
        <v>0</v>
      </c>
      <c r="J67" s="6"/>
    </row>
  </sheetData>
  <mergeCells count="18">
    <mergeCell ref="B2:P2"/>
    <mergeCell ref="B3:P3"/>
    <mergeCell ref="B5:J5"/>
    <mergeCell ref="L5:P5"/>
    <mergeCell ref="B6:B7"/>
    <mergeCell ref="C6:C7"/>
    <mergeCell ref="D6:D7"/>
    <mergeCell ref="E6:E7"/>
    <mergeCell ref="F6:F7"/>
    <mergeCell ref="G6:G7"/>
    <mergeCell ref="H6:H7"/>
    <mergeCell ref="N6:N7"/>
    <mergeCell ref="P6:P7"/>
    <mergeCell ref="I6:I7"/>
    <mergeCell ref="J6:J7"/>
    <mergeCell ref="L6:L7"/>
    <mergeCell ref="M6:M7"/>
    <mergeCell ref="O6:O7"/>
  </mergeCells>
  <conditionalFormatting sqref="G8:G67 I8:J67">
    <cfRule type="cellIs" dxfId="0" priority="3" operator="equal">
      <formula>0</formula>
    </cfRule>
  </conditionalFormatting>
  <dataValidations count="1">
    <dataValidation type="list" allowBlank="1" showInputMessage="1" showErrorMessage="1" sqref="D8:D67" xr:uid="{9589DD3D-58B4-4DC7-9647-824EE35B97AB}">
      <formula1>INDIRECT(C8)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8" scale="81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BAFCB1-7F71-4075-9B67-F71C4AF13F46}">
          <x14:formula1>
            <xm:f>INFO!$B$3:$B$4</xm:f>
          </x14:formula1>
          <xm:sqref>C8:C67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3"/>
  <sheetViews>
    <sheetView workbookViewId="0">
      <selection activeCell="G12" sqref="G12"/>
    </sheetView>
  </sheetViews>
  <sheetFormatPr defaultRowHeight="15" x14ac:dyDescent="0.25"/>
  <cols>
    <col min="5" max="5" width="9.140625" customWidth="1"/>
  </cols>
  <sheetData>
    <row r="2" spans="2:8" x14ac:dyDescent="0.25">
      <c r="B2" s="1" t="s">
        <v>7</v>
      </c>
      <c r="D2" s="2" t="s">
        <v>7</v>
      </c>
      <c r="E2" s="2" t="s">
        <v>10</v>
      </c>
      <c r="F2" s="2" t="s">
        <v>11</v>
      </c>
      <c r="G2" s="2" t="s">
        <v>10</v>
      </c>
      <c r="H2" s="5"/>
    </row>
    <row r="3" spans="2:8" x14ac:dyDescent="0.25">
      <c r="B3" s="1" t="s">
        <v>12</v>
      </c>
      <c r="D3" s="2" t="s">
        <v>9</v>
      </c>
      <c r="E3" s="3">
        <v>4.2</v>
      </c>
      <c r="F3" s="2">
        <v>0.109</v>
      </c>
      <c r="G3" s="3"/>
    </row>
    <row r="4" spans="2:8" x14ac:dyDescent="0.25">
      <c r="B4" s="1" t="s">
        <v>13</v>
      </c>
      <c r="D4" s="2" t="s">
        <v>9</v>
      </c>
      <c r="E4" s="3">
        <v>5</v>
      </c>
      <c r="F4" s="2">
        <v>0.154</v>
      </c>
      <c r="G4" s="3" t="s">
        <v>25</v>
      </c>
    </row>
    <row r="5" spans="2:8" x14ac:dyDescent="0.25">
      <c r="D5" s="2" t="s">
        <v>8</v>
      </c>
      <c r="E5" s="3">
        <v>6.3</v>
      </c>
      <c r="F5" s="2">
        <v>0.245</v>
      </c>
      <c r="G5" s="3" t="s">
        <v>19</v>
      </c>
    </row>
    <row r="6" spans="2:8" x14ac:dyDescent="0.25">
      <c r="D6" s="2" t="s">
        <v>8</v>
      </c>
      <c r="E6" s="3">
        <v>8</v>
      </c>
      <c r="F6" s="2">
        <v>0.39500000000000002</v>
      </c>
      <c r="G6" s="3" t="s">
        <v>20</v>
      </c>
    </row>
    <row r="7" spans="2:8" x14ac:dyDescent="0.25">
      <c r="D7" s="2" t="s">
        <v>8</v>
      </c>
      <c r="E7" s="3">
        <v>10</v>
      </c>
      <c r="F7" s="2">
        <v>0.61699999999999999</v>
      </c>
      <c r="G7" s="3" t="s">
        <v>21</v>
      </c>
    </row>
    <row r="8" spans="2:8" x14ac:dyDescent="0.25">
      <c r="D8" s="2" t="s">
        <v>8</v>
      </c>
      <c r="E8" s="3">
        <v>12.5</v>
      </c>
      <c r="F8" s="2">
        <v>0.96299999999999997</v>
      </c>
      <c r="G8" s="3" t="s">
        <v>22</v>
      </c>
    </row>
    <row r="9" spans="2:8" x14ac:dyDescent="0.25">
      <c r="D9" s="2" t="s">
        <v>8</v>
      </c>
      <c r="E9" s="3">
        <v>16</v>
      </c>
      <c r="F9" s="2">
        <v>1.5780000000000001</v>
      </c>
      <c r="G9" s="3" t="s">
        <v>23</v>
      </c>
    </row>
    <row r="10" spans="2:8" x14ac:dyDescent="0.25">
      <c r="D10" s="2" t="s">
        <v>8</v>
      </c>
      <c r="E10" s="3">
        <v>20</v>
      </c>
      <c r="F10" s="2">
        <v>2.4660000000000002</v>
      </c>
      <c r="G10" s="3" t="s">
        <v>24</v>
      </c>
    </row>
    <row r="11" spans="2:8" x14ac:dyDescent="0.25">
      <c r="D11" s="2" t="s">
        <v>8</v>
      </c>
      <c r="E11" s="3">
        <v>25</v>
      </c>
      <c r="F11" s="2">
        <v>3.8530000000000002</v>
      </c>
      <c r="G11" s="3" t="s">
        <v>26</v>
      </c>
    </row>
    <row r="12" spans="2:8" x14ac:dyDescent="0.25">
      <c r="D12" s="2" t="s">
        <v>8</v>
      </c>
      <c r="E12" s="3">
        <v>32</v>
      </c>
      <c r="F12" s="2">
        <v>6.3129999999999997</v>
      </c>
      <c r="G12" s="3"/>
    </row>
    <row r="13" spans="2:8" x14ac:dyDescent="0.25">
      <c r="D13" s="2" t="s">
        <v>8</v>
      </c>
      <c r="E13" s="3">
        <v>40</v>
      </c>
      <c r="F13" s="2">
        <v>9.8650000000000002</v>
      </c>
      <c r="G13" s="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0"/>
  <sheetViews>
    <sheetView showGridLines="0" workbookViewId="0">
      <selection activeCell="F18" sqref="F18"/>
    </sheetView>
  </sheetViews>
  <sheetFormatPr defaultRowHeight="15" x14ac:dyDescent="0.25"/>
  <cols>
    <col min="2" max="2" width="19.5703125" customWidth="1"/>
    <col min="3" max="4" width="9.140625" style="22"/>
  </cols>
  <sheetData>
    <row r="2" spans="2:5" x14ac:dyDescent="0.25">
      <c r="B2" s="57" t="s">
        <v>29</v>
      </c>
      <c r="C2" s="57"/>
      <c r="D2" s="57"/>
      <c r="E2" s="57"/>
    </row>
    <row r="3" spans="2:5" ht="15.75" thickBot="1" x14ac:dyDescent="0.3"/>
    <row r="4" spans="2:5" x14ac:dyDescent="0.25">
      <c r="B4" s="23" t="s">
        <v>30</v>
      </c>
      <c r="C4" s="24">
        <v>0.2</v>
      </c>
      <c r="D4" s="24">
        <v>0.3</v>
      </c>
      <c r="E4" s="25">
        <v>0.4</v>
      </c>
    </row>
    <row r="5" spans="2:5" x14ac:dyDescent="0.25">
      <c r="B5" s="26" t="s">
        <v>31</v>
      </c>
      <c r="C5" s="27"/>
      <c r="D5" s="27"/>
      <c r="E5" s="28"/>
    </row>
    <row r="6" spans="2:5" x14ac:dyDescent="0.25">
      <c r="B6" s="26" t="s">
        <v>32</v>
      </c>
      <c r="C6" s="27"/>
      <c r="D6" s="27"/>
      <c r="E6" s="28"/>
    </row>
    <row r="7" spans="2:5" ht="15.75" thickBot="1" x14ac:dyDescent="0.3">
      <c r="B7" s="29" t="s">
        <v>33</v>
      </c>
      <c r="C7" s="30">
        <f>((((C4/2)^2)*3.14)*C5*C6)</f>
        <v>0</v>
      </c>
      <c r="D7" s="30">
        <f>((((D4/2)^2)*3.14)*D5*D6)</f>
        <v>0</v>
      </c>
      <c r="E7" s="31">
        <f>((((E4/2)^2)*3.14)*E5*E6)</f>
        <v>0</v>
      </c>
    </row>
    <row r="9" spans="2:5" ht="15.75" thickBot="1" x14ac:dyDescent="0.3"/>
    <row r="10" spans="2:5" ht="15.75" thickBot="1" x14ac:dyDescent="0.3">
      <c r="B10" s="32" t="s">
        <v>34</v>
      </c>
      <c r="C10" s="33">
        <f>SUM(C7:E7)</f>
        <v>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Pedido</vt:lpstr>
      <vt:lpstr>INFO</vt:lpstr>
      <vt:lpstr>Concreto Estacas</vt:lpstr>
      <vt:lpstr>Pedido!Area_de_impressao</vt:lpstr>
      <vt:lpstr>CA.50</vt:lpstr>
      <vt:lpstr>CA.60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Gabriella Cristina Barbosa Cruvinel</cp:lastModifiedBy>
  <cp:lastPrinted>2021-08-27T13:00:20Z</cp:lastPrinted>
  <dcterms:created xsi:type="dcterms:W3CDTF">2016-01-29T18:02:12Z</dcterms:created>
  <dcterms:modified xsi:type="dcterms:W3CDTF">2024-11-06T20:08:37Z</dcterms:modified>
</cp:coreProperties>
</file>